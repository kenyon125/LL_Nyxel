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k\Desktop\Nyx\dev\src\LL_Animation\"/>
    </mc:Choice>
  </mc:AlternateContent>
  <xr:revisionPtr revIDLastSave="0" documentId="13_ncr:1_{AD831198-0EBB-4134-A42E-9496BD2CFDF5}" xr6:coauthVersionLast="47" xr6:coauthVersionMax="47" xr10:uidLastSave="{00000000-0000-0000-0000-000000000000}"/>
  <bookViews>
    <workbookView xWindow="-120" yWindow="-120" windowWidth="29040" windowHeight="15720" tabRatio="774" firstSheet="2" activeTab="2" xr2:uid="{00000000-000D-0000-FFFF-FFFF00000000}"/>
  </bookViews>
  <sheets>
    <sheet name="readme" sheetId="18" r:id="rId1"/>
    <sheet name="hardware layout" sheetId="1" r:id="rId2"/>
    <sheet name="firmware data" sheetId="17" r:id="rId3"/>
    <sheet name="1" sheetId="94" r:id="rId4"/>
    <sheet name="2" sheetId="95" r:id="rId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Z21" i="95" l="1"/>
  <c r="BC21" i="95"/>
  <c r="BI3" i="95"/>
  <c r="BC3" i="95"/>
  <c r="AO21" i="95"/>
  <c r="BB21" i="94"/>
  <c r="AN3" i="95"/>
  <c r="AZ21" i="94"/>
  <c r="AY3" i="95"/>
  <c r="BE21" i="94"/>
  <c r="AP3" i="94"/>
  <c r="AL21" i="95"/>
  <c r="AM3" i="94"/>
  <c r="AI3" i="95"/>
  <c r="AR3" i="94"/>
  <c r="AJ21" i="95"/>
  <c r="AX21" i="94"/>
  <c r="AJ3" i="94"/>
  <c r="BA3" i="94"/>
  <c r="BG21" i="94"/>
  <c r="AW3" i="95"/>
  <c r="AJ21" i="94"/>
  <c r="AW21" i="95"/>
  <c r="BH21" i="95"/>
  <c r="AR3" i="95"/>
  <c r="AT3" i="94"/>
  <c r="BE3" i="94"/>
  <c r="AX3" i="94"/>
  <c r="AV3" i="94"/>
  <c r="AN21" i="95"/>
  <c r="BI3" i="94"/>
  <c r="BG21" i="95"/>
  <c r="AL3" i="94"/>
  <c r="AZ3" i="94"/>
  <c r="AQ3" i="95"/>
  <c r="AK21" i="95"/>
  <c r="BA21" i="94"/>
  <c r="BF3" i="94"/>
  <c r="AL3" i="95"/>
  <c r="AR21" i="94"/>
  <c r="BH3" i="94"/>
  <c r="AZ3" i="95"/>
  <c r="AO3" i="94"/>
  <c r="AH3" i="95"/>
  <c r="AK3" i="95"/>
  <c r="BG3" i="95"/>
  <c r="AK3" i="94"/>
  <c r="BI21" i="95"/>
  <c r="AP3" i="95"/>
  <c r="AS3" i="94"/>
  <c r="AO3" i="95"/>
  <c r="AX21" i="95"/>
  <c r="BI21" i="94"/>
  <c r="AV21" i="95"/>
  <c r="BE3" i="95"/>
  <c r="BG3" i="94"/>
  <c r="AQ21" i="95"/>
  <c r="AU21" i="94"/>
  <c r="BB3" i="94"/>
  <c r="AX3" i="95"/>
  <c r="AI21" i="94"/>
  <c r="AT3" i="95"/>
  <c r="AJ3" i="95"/>
  <c r="AQ21" i="94"/>
  <c r="BH3" i="95"/>
  <c r="AP21" i="95"/>
  <c r="BA21" i="95"/>
  <c r="BF21" i="95"/>
  <c r="AQ3" i="94"/>
  <c r="AY21" i="95"/>
  <c r="AW21" i="94"/>
  <c r="AI21" i="95"/>
  <c r="AK21" i="94"/>
  <c r="BD3" i="94"/>
  <c r="AS21" i="95"/>
  <c r="BH21" i="94"/>
  <c r="BB21" i="95"/>
  <c r="BD21" i="95"/>
  <c r="BD21" i="94"/>
  <c r="AT21" i="95"/>
  <c r="AU3" i="94"/>
  <c r="AH21" i="95"/>
  <c r="AY21" i="94"/>
  <c r="AR21" i="95"/>
  <c r="AM21" i="95"/>
  <c r="AU3" i="95"/>
  <c r="AW3" i="94"/>
  <c r="AS3" i="95"/>
  <c r="AI3" i="94"/>
  <c r="BA3" i="95"/>
  <c r="AL21" i="94"/>
  <c r="BF21" i="94"/>
  <c r="AO21" i="94"/>
  <c r="BD3" i="95"/>
  <c r="AV3" i="95"/>
  <c r="AH3" i="94"/>
  <c r="BE21" i="95"/>
  <c r="BC3" i="94"/>
  <c r="AN3" i="94"/>
  <c r="AV21" i="94"/>
  <c r="BC21" i="94"/>
  <c r="AS21" i="94"/>
  <c r="AT21" i="94"/>
  <c r="AP21" i="94"/>
  <c r="BF3" i="95"/>
  <c r="AY3" i="94"/>
  <c r="AN21" i="94"/>
  <c r="AM21" i="94"/>
  <c r="BB3" i="95"/>
  <c r="AU21" i="95"/>
  <c r="AH21" i="94"/>
  <c r="AM3" i="95"/>
  <c r="BI5" i="94" l="1"/>
  <c r="BC23" i="94"/>
  <c r="BH5" i="94"/>
  <c r="AW5" i="94"/>
  <c r="AI5" i="94"/>
  <c r="BH23" i="94"/>
  <c r="BI5" i="95"/>
  <c r="AX23" i="95"/>
  <c r="BC23" i="95"/>
  <c r="AP23" i="95"/>
  <c r="BD23" i="94"/>
  <c r="BE5" i="94"/>
  <c r="AS23" i="94"/>
  <c r="AR23" i="94"/>
  <c r="AJ5" i="94"/>
  <c r="BE23" i="95"/>
  <c r="AM23" i="94"/>
  <c r="AR23" i="95"/>
  <c r="AK5" i="94"/>
  <c r="BH23" i="95"/>
  <c r="AU23" i="94"/>
  <c r="AV5" i="94"/>
  <c r="AU5" i="95"/>
  <c r="AQ5" i="95"/>
  <c r="AT23" i="95"/>
  <c r="AZ5" i="94"/>
  <c r="AI23" i="95"/>
  <c r="AM5" i="94"/>
  <c r="BC5" i="94"/>
  <c r="AR5" i="95"/>
  <c r="AN5" i="94"/>
  <c r="AY23" i="95"/>
  <c r="AL23" i="94"/>
  <c r="AH7" i="94"/>
  <c r="AH9" i="94" s="1"/>
  <c r="AH10" i="94" s="1"/>
  <c r="AH5" i="94"/>
  <c r="AN23" i="95"/>
  <c r="AV5" i="95"/>
  <c r="BE23" i="94"/>
  <c r="BD5" i="94"/>
  <c r="BD5" i="95"/>
  <c r="AW5" i="95"/>
  <c r="AV23" i="94"/>
  <c r="BG23" i="94"/>
  <c r="AT5" i="95"/>
  <c r="AZ23" i="95"/>
  <c r="AW23" i="94"/>
  <c r="AP5" i="94"/>
  <c r="AH23" i="95"/>
  <c r="AH25" i="95"/>
  <c r="AH27" i="95" s="1"/>
  <c r="AH28" i="95" s="1"/>
  <c r="AX5" i="95"/>
  <c r="AX23" i="94"/>
  <c r="AQ5" i="94"/>
  <c r="AJ23" i="95"/>
  <c r="AK23" i="95"/>
  <c r="AY23" i="94"/>
  <c r="AR5" i="94"/>
  <c r="BA23" i="95"/>
  <c r="AY5" i="95"/>
  <c r="AK23" i="94"/>
  <c r="AZ23" i="94"/>
  <c r="AS5" i="94"/>
  <c r="AM23" i="95"/>
  <c r="AL23" i="95"/>
  <c r="AY5" i="94"/>
  <c r="BB23" i="94"/>
  <c r="AO5" i="94"/>
  <c r="BB5" i="95"/>
  <c r="BB23" i="95"/>
  <c r="BF5" i="94"/>
  <c r="AN23" i="94"/>
  <c r="AP23" i="94"/>
  <c r="AT5" i="94"/>
  <c r="AQ23" i="95"/>
  <c r="AU23" i="95"/>
  <c r="AJ5" i="95"/>
  <c r="BG5" i="94"/>
  <c r="AL5" i="94"/>
  <c r="BF23" i="94"/>
  <c r="AI23" i="94"/>
  <c r="BG23" i="95"/>
  <c r="AS5" i="95"/>
  <c r="AZ5" i="95"/>
  <c r="AH25" i="94"/>
  <c r="AH27" i="94" s="1"/>
  <c r="AH28" i="94" s="1"/>
  <c r="AH23" i="94"/>
  <c r="BB5" i="94"/>
  <c r="BI23" i="94"/>
  <c r="AJ23" i="94"/>
  <c r="BG5" i="95"/>
  <c r="AV23" i="95"/>
  <c r="AK5" i="95"/>
  <c r="AX5" i="94"/>
  <c r="AO23" i="94"/>
  <c r="AT23" i="94"/>
  <c r="BA5" i="94"/>
  <c r="BH5" i="95"/>
  <c r="AW23" i="95"/>
  <c r="BA5" i="95"/>
  <c r="BD23" i="95"/>
  <c r="AL5" i="95"/>
  <c r="AO23" i="95"/>
  <c r="AM5" i="95"/>
  <c r="BC5" i="95"/>
  <c r="BF23" i="95"/>
  <c r="AU5" i="94"/>
  <c r="BA23" i="94"/>
  <c r="AQ23" i="94"/>
  <c r="AI5" i="95"/>
  <c r="AO5" i="95"/>
  <c r="AH7" i="95"/>
  <c r="AH9" i="95" s="1"/>
  <c r="AH10" i="95" s="1"/>
  <c r="AH5" i="95"/>
  <c r="AN5" i="95"/>
  <c r="BE5" i="95"/>
  <c r="AP5" i="95"/>
  <c r="BF5" i="95"/>
  <c r="AS23" i="95"/>
  <c r="BI23" i="95"/>
  <c r="AH13" i="95" l="1"/>
  <c r="AH16" i="95" s="1"/>
  <c r="AH13" i="94"/>
  <c r="AH16" i="94" s="1"/>
  <c r="AH31" i="94"/>
  <c r="AH33" i="94" s="1"/>
  <c r="AH31" i="95"/>
  <c r="AH33" i="95" s="1"/>
  <c r="A3" i="17" a="1"/>
  <c r="A2" i="17" a="1"/>
  <c r="A8" i="17" a="1"/>
  <c r="A7" i="17" a="1"/>
  <c r="A3" i="17" l="1"/>
  <c r="A2" i="17"/>
  <c r="A8" i="17"/>
  <c r="A7" i="1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<sst xmlns="http://schemas.openxmlformats.org/spreadsheetml/2006/main" count="91" uniqueCount="42">
  <si>
    <t>1</t>
    <phoneticPr fontId="1" type="noConversion"/>
  </si>
  <si>
    <t>delay(ms):</t>
    <phoneticPr fontId="1" type="noConversion"/>
  </si>
  <si>
    <r>
      <t xml:space="preserve">This doc can be used to make frame of animation and convert it to the format of RGB like bmp, which can be used by firmware.
</t>
    </r>
    <r>
      <rPr>
        <sz val="11"/>
        <color rgb="FFFF0000"/>
        <rFont val="宋体"/>
        <family val="3"/>
        <charset val="134"/>
        <scheme val="minor"/>
      </rPr>
      <t>If there is any alert about excel macro, pls just enable it, because we define a macro for getting the color of the cell.</t>
    </r>
    <r>
      <rPr>
        <sz val="11"/>
        <color theme="1"/>
        <rFont val="宋体"/>
        <family val="2"/>
        <charset val="134"/>
        <scheme val="minor"/>
      </rPr>
      <t xml:space="preserve">
Sheet "hardware layout": just FYI.
Sheet "firmware data": collect the result of convertion of each animation frame.
Sheet "1,2,3...": just a sample of animation frames, you can set the "delay(ms)" of each frame and draw your frame, after you finish a sheet, pls press "</t>
    </r>
    <r>
      <rPr>
        <sz val="11"/>
        <color rgb="FFFF0000"/>
        <rFont val="宋体"/>
        <family val="3"/>
        <charset val="134"/>
        <scheme val="minor"/>
      </rPr>
      <t>F9</t>
    </r>
    <r>
      <rPr>
        <sz val="11"/>
        <color theme="1"/>
        <rFont val="宋体"/>
        <family val="2"/>
        <charset val="134"/>
        <scheme val="minor"/>
      </rPr>
      <t xml:space="preserve">" to refresh the sheet.
If you need add more frame, pls:
copy from Sheet 1`3 to create a frame;
then add a formula to Sheet "firmware data" to collect the data of your new frame, the formula is: </t>
    </r>
    <r>
      <rPr>
        <i/>
        <sz val="11"/>
        <color rgb="FFFF0000"/>
        <rFont val="宋体"/>
        <family val="3"/>
        <charset val="134"/>
        <scheme val="minor"/>
      </rPr>
      <t>='SheetName'!AC18</t>
    </r>
    <r>
      <rPr>
        <sz val="11"/>
        <color theme="1"/>
        <rFont val="宋体"/>
        <family val="2"/>
        <charset val="134"/>
        <scheme val="minor"/>
      </rPr>
      <t xml:space="preserve">
</t>
    </r>
    <phoneticPr fontId="1" type="noConversion"/>
  </si>
  <si>
    <t>十六进制</t>
    <phoneticPr fontId="1" type="noConversion"/>
  </si>
  <si>
    <t>转化的RGB值</t>
    <phoneticPr fontId="1" type="noConversion"/>
  </si>
  <si>
    <t>RGB数组</t>
    <phoneticPr fontId="1" type="noConversion"/>
  </si>
  <si>
    <t>合并后的十六进制RGB数组</t>
    <phoneticPr fontId="1" type="noConversion"/>
  </si>
  <si>
    <t>合并帧间隔的数组</t>
    <phoneticPr fontId="1" type="noConversion"/>
  </si>
  <si>
    <t>处理后的十六进制RGB数组</t>
    <phoneticPr fontId="1" type="noConversion"/>
  </si>
  <si>
    <t>FRONT</t>
    <phoneticPr fontId="1" type="noConversion"/>
  </si>
  <si>
    <t>REAR</t>
    <phoneticPr fontId="1" type="noConversion"/>
  </si>
  <si>
    <t>合并后的十六进制RGB数组(正向排序)</t>
    <phoneticPr fontId="1" type="noConversion"/>
  </si>
  <si>
    <t>处理后的十六进制RGB数组(正向)</t>
    <phoneticPr fontId="1" type="noConversion"/>
  </si>
  <si>
    <t>1(FRONT)</t>
    <phoneticPr fontId="1" type="noConversion"/>
  </si>
  <si>
    <t>2(REAR)</t>
    <phoneticPr fontId="1" type="noConversion"/>
  </si>
  <si>
    <t>28</t>
    <phoneticPr fontId="1" type="noConversion"/>
  </si>
  <si>
    <t>27</t>
    <phoneticPr fontId="1" type="noConversion"/>
  </si>
  <si>
    <t>26</t>
    <phoneticPr fontId="1" type="noConversion"/>
  </si>
  <si>
    <t>25</t>
    <phoneticPr fontId="1" type="noConversion"/>
  </si>
  <si>
    <t>24</t>
    <phoneticPr fontId="1" type="noConversion"/>
  </si>
  <si>
    <t>23</t>
    <phoneticPr fontId="1" type="noConversion"/>
  </si>
  <si>
    <t>22</t>
    <phoneticPr fontId="1" type="noConversion"/>
  </si>
  <si>
    <t>21</t>
    <phoneticPr fontId="1" type="noConversion"/>
  </si>
  <si>
    <t>20</t>
    <phoneticPr fontId="1" type="noConversion"/>
  </si>
  <si>
    <t>19</t>
    <phoneticPr fontId="1" type="noConversion"/>
  </si>
  <si>
    <t>18</t>
    <phoneticPr fontId="1" type="noConversion"/>
  </si>
  <si>
    <t>17</t>
    <phoneticPr fontId="1" type="noConversion"/>
  </si>
  <si>
    <t>16</t>
    <phoneticPr fontId="1" type="noConversion"/>
  </si>
  <si>
    <t>15</t>
    <phoneticPr fontId="1" type="noConversion"/>
  </si>
  <si>
    <t>14</t>
    <phoneticPr fontId="1" type="noConversion"/>
  </si>
  <si>
    <t>13</t>
    <phoneticPr fontId="1" type="noConversion"/>
  </si>
  <si>
    <t>12</t>
    <phoneticPr fontId="1" type="noConversion"/>
  </si>
  <si>
    <t>11</t>
    <phoneticPr fontId="1" type="noConversion"/>
  </si>
  <si>
    <t>10</t>
    <phoneticPr fontId="1" type="noConversion"/>
  </si>
  <si>
    <t>9</t>
    <phoneticPr fontId="1" type="noConversion"/>
  </si>
  <si>
    <t>8</t>
    <phoneticPr fontId="1" type="noConversion"/>
  </si>
  <si>
    <t>7</t>
    <phoneticPr fontId="1" type="noConversion"/>
  </si>
  <si>
    <t>6</t>
    <phoneticPr fontId="1" type="noConversion"/>
  </si>
  <si>
    <t>5</t>
    <phoneticPr fontId="1" type="noConversion"/>
  </si>
  <si>
    <t>4</t>
    <phoneticPr fontId="1" type="noConversion"/>
  </si>
  <si>
    <t>3</t>
    <phoneticPr fontId="1" type="noConversion"/>
  </si>
  <si>
    <t>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</si>
</sst>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i/>
      <sz val="11"/>
      <color rgb="FFFF0000"/>
      <name val="宋体"/>
      <family val="3"/>
      <charset val="134"/>
      <scheme val="minor"/>
    </font>
    <font>
      <sz val="10"/>
      <name val="Arial"/>
      <family val="2"/>
    </font>
    <font>
      <sz val="10"/>
      <color rgb="FFFFFFCC"/>
      <name val="Arial"/>
      <family val="2"/>
    </font>
    <font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rgb="FF434343"/>
      </patternFill>
    </fill>
    <fill>
      <patternFill patternType="solid">
        <fgColor rgb="FFFFAA64"/>
        <bgColor rgb="FF434343"/>
      </patternFill>
    </fill>
    <fill>
      <patternFill patternType="solid">
        <fgColor rgb="FFFF0000"/>
        <bgColor rgb="FF434343"/>
      </patternFill>
    </fill>
  </fills>
  <borders count="6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 style="thick">
        <color indexed="64"/>
      </top>
      <bottom/>
      <diagonal/>
    </border>
    <border>
      <left/>
      <right/>
      <top style="thick">
        <color rgb="FF000000"/>
      </top>
      <bottom/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49" fontId="0" fillId="0" borderId="0" xfId="0" applyNumberForma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2" fillId="0" borderId="0" xfId="0" applyFont="1">
      <alignment vertical="center"/>
    </xf>
    <xf numFmtId="0" fontId="7" fillId="3" borderId="5" xfId="0" applyFont="1" applyFill="1" applyBorder="1" applyAlignment="1"/>
    <xf numFmtId="0" fontId="8" fillId="2" borderId="5" xfId="0" applyFont="1" applyFill="1" applyBorder="1" applyAlignment="1"/>
    <xf numFmtId="0" fontId="9" fillId="2" borderId="5" xfId="0" applyFont="1" applyFill="1" applyBorder="1" applyAlignment="1"/>
    <xf numFmtId="0" fontId="8" fillId="4" borderId="5" xfId="0" applyFont="1" applyFill="1" applyBorder="1" applyAlignment="1"/>
  </cellXfs>
  <cellStyles count="1">
    <cellStyle name="常规" xfId="0" builtinId="0"/>
  </cellStyles>
  <dxfs count="0"/>
  <tableStyles count="0" defaultTableStyle="TableStyleMedium9" defaultPivotStyle="PivotStyleLight16"/>
  <colors>
    <mruColors>
      <color rgb="FFFF0000"/>
      <color rgb="FFFA0505"/>
      <color rgb="FFD20808"/>
      <color rgb="FFC0261A"/>
      <color rgb="FFC80E50"/>
      <color rgb="FFFFAA64"/>
      <color rgb="FFFFFFCC"/>
      <color rgb="FFEF1965"/>
      <color rgb="FFFFCC00"/>
      <color rgb="FFFBE7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workbookViewId="0"/>
  </sheetViews>
  <sheetFormatPr defaultRowHeight="13.5" x14ac:dyDescent="0.15"/>
  <cols>
    <col min="1" max="1" width="142.125" customWidth="1"/>
  </cols>
  <sheetData>
    <row r="1" spans="1:1" ht="162" x14ac:dyDescent="0.15">
      <c r="A1" s="10" t="s">
        <v>2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E8"/>
  <sheetViews>
    <sheetView zoomScale="75" zoomScaleNormal="75" workbookViewId="0"/>
  </sheetViews>
  <sheetFormatPr defaultRowHeight="13.5" x14ac:dyDescent="0.15"/>
  <cols>
    <col min="1" max="1" width="12.5" style="2" customWidth="1"/>
    <col min="2" max="11" width="8.625" style="1" customWidth="1"/>
    <col min="12" max="12" width="8.625" customWidth="1"/>
    <col min="13" max="19" width="8.625" style="1" customWidth="1"/>
    <col min="20" max="20" width="8.625" customWidth="1"/>
    <col min="21" max="28" width="8.625" style="1" customWidth="1"/>
    <col min="29" max="29" width="8.625" customWidth="1"/>
    <col min="30" max="30" width="32.75" bestFit="1" customWidth="1"/>
    <col min="31" max="31" width="30.5" bestFit="1" customWidth="1"/>
  </cols>
  <sheetData>
    <row r="1" spans="1:31" s="2" customFormat="1" ht="14.25" thickBot="1" x14ac:dyDescent="0.2">
      <c r="B1" s="2">
        <v>1</v>
      </c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2">
        <v>10</v>
      </c>
      <c r="L1" s="2">
        <v>11</v>
      </c>
      <c r="M1" s="2">
        <v>12</v>
      </c>
      <c r="N1" s="2">
        <v>13</v>
      </c>
      <c r="O1" s="2">
        <v>14</v>
      </c>
      <c r="P1" s="2">
        <v>15</v>
      </c>
      <c r="Q1" s="2">
        <v>16</v>
      </c>
      <c r="R1" s="2">
        <v>17</v>
      </c>
      <c r="S1" s="2">
        <v>18</v>
      </c>
      <c r="T1" s="2">
        <v>19</v>
      </c>
      <c r="U1" s="2">
        <v>20</v>
      </c>
      <c r="V1" s="2">
        <v>21</v>
      </c>
      <c r="W1" s="2">
        <v>22</v>
      </c>
      <c r="X1" s="2">
        <v>23</v>
      </c>
      <c r="Y1" s="2">
        <v>24</v>
      </c>
      <c r="Z1" s="2">
        <v>25</v>
      </c>
      <c r="AA1" s="2">
        <v>26</v>
      </c>
      <c r="AB1" s="2">
        <v>27</v>
      </c>
      <c r="AC1" s="2">
        <v>28</v>
      </c>
      <c r="AD1" s="3"/>
      <c r="AE1" s="3"/>
    </row>
    <row r="2" spans="1:31" ht="50.1" customHeight="1" x14ac:dyDescent="0.15">
      <c r="A2" s="2" t="s">
        <v>13</v>
      </c>
      <c r="B2" s="6" t="s">
        <v>15</v>
      </c>
      <c r="C2" s="6" t="s">
        <v>16</v>
      </c>
      <c r="D2" s="6" t="s">
        <v>17</v>
      </c>
      <c r="E2" s="6" t="s">
        <v>18</v>
      </c>
      <c r="F2" s="6" t="s">
        <v>19</v>
      </c>
      <c r="G2" s="6" t="s">
        <v>20</v>
      </c>
      <c r="H2" s="6" t="s">
        <v>21</v>
      </c>
      <c r="I2" s="6" t="s">
        <v>22</v>
      </c>
      <c r="J2" s="6" t="s">
        <v>23</v>
      </c>
      <c r="K2" s="6" t="s">
        <v>24</v>
      </c>
      <c r="L2" s="6" t="s">
        <v>25</v>
      </c>
      <c r="M2" s="6" t="s">
        <v>26</v>
      </c>
      <c r="N2" s="6" t="s">
        <v>27</v>
      </c>
      <c r="O2" s="6" t="s">
        <v>28</v>
      </c>
      <c r="P2" s="6" t="s">
        <v>29</v>
      </c>
      <c r="Q2" s="6" t="s">
        <v>30</v>
      </c>
      <c r="R2" s="6" t="s">
        <v>31</v>
      </c>
      <c r="S2" s="6" t="s">
        <v>32</v>
      </c>
      <c r="T2" s="6" t="s">
        <v>33</v>
      </c>
      <c r="U2" s="6" t="s">
        <v>34</v>
      </c>
      <c r="V2" s="6" t="s">
        <v>35</v>
      </c>
      <c r="W2" s="6" t="s">
        <v>36</v>
      </c>
      <c r="X2" s="6" t="s">
        <v>37</v>
      </c>
      <c r="Y2" s="6" t="s">
        <v>38</v>
      </c>
      <c r="Z2" s="6" t="s">
        <v>39</v>
      </c>
      <c r="AA2" s="6" t="s">
        <v>40</v>
      </c>
      <c r="AB2" s="6" t="s">
        <v>41</v>
      </c>
      <c r="AC2" s="6" t="s">
        <v>0</v>
      </c>
      <c r="AD2" s="4"/>
      <c r="AE2" s="4"/>
    </row>
    <row r="3" spans="1:31" ht="50.1" customHeight="1" x14ac:dyDescent="0.15">
      <c r="A3" s="2" t="s">
        <v>14</v>
      </c>
      <c r="B3" s="5" t="s">
        <v>0</v>
      </c>
      <c r="C3" s="5" t="s">
        <v>41</v>
      </c>
      <c r="D3" s="5" t="s">
        <v>40</v>
      </c>
      <c r="E3" s="5" t="s">
        <v>39</v>
      </c>
      <c r="F3" s="5" t="s">
        <v>38</v>
      </c>
      <c r="G3" s="5" t="s">
        <v>37</v>
      </c>
      <c r="H3" s="5" t="s">
        <v>36</v>
      </c>
      <c r="I3" s="5" t="s">
        <v>35</v>
      </c>
      <c r="J3" s="5" t="s">
        <v>34</v>
      </c>
      <c r="K3" s="5" t="s">
        <v>33</v>
      </c>
      <c r="L3" s="5" t="s">
        <v>32</v>
      </c>
      <c r="M3" s="5" t="s">
        <v>31</v>
      </c>
      <c r="N3" s="5" t="s">
        <v>30</v>
      </c>
      <c r="O3" s="5" t="s">
        <v>29</v>
      </c>
      <c r="P3" s="5" t="s">
        <v>28</v>
      </c>
      <c r="Q3" s="5" t="s">
        <v>27</v>
      </c>
      <c r="R3" s="5" t="s">
        <v>26</v>
      </c>
      <c r="S3" s="5" t="s">
        <v>25</v>
      </c>
      <c r="T3" s="5" t="s">
        <v>24</v>
      </c>
      <c r="U3" s="5" t="s">
        <v>23</v>
      </c>
      <c r="V3" s="5" t="s">
        <v>22</v>
      </c>
      <c r="W3" s="5" t="s">
        <v>21</v>
      </c>
      <c r="X3" s="5" t="s">
        <v>20</v>
      </c>
      <c r="Y3" s="5" t="s">
        <v>19</v>
      </c>
      <c r="Z3" s="5" t="s">
        <v>18</v>
      </c>
      <c r="AA3" s="5" t="s">
        <v>17</v>
      </c>
      <c r="AB3" s="5" t="s">
        <v>16</v>
      </c>
      <c r="AC3" s="5" t="s">
        <v>15</v>
      </c>
      <c r="AD3" s="4"/>
      <c r="AE3" s="4"/>
    </row>
    <row r="4" spans="1:31" ht="50.1" customHeight="1" x14ac:dyDescent="0.15">
      <c r="AD4" s="4"/>
      <c r="AE4" s="4"/>
    </row>
    <row r="5" spans="1:31" ht="50.1" customHeight="1" x14ac:dyDescent="0.15"/>
    <row r="6" spans="1:31" ht="50.1" customHeight="1" x14ac:dyDescent="0.15"/>
    <row r="7" spans="1:31" ht="50.1" customHeight="1" x14ac:dyDescent="0.15"/>
    <row r="8" spans="1:31" ht="50.1" customHeight="1" x14ac:dyDescent="0.15"/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8"/>
  <sheetViews>
    <sheetView tabSelected="1" zoomScaleNormal="100" workbookViewId="0">
      <selection activeCell="A8" sqref="A8"/>
    </sheetView>
  </sheetViews>
  <sheetFormatPr defaultRowHeight="13.5" x14ac:dyDescent="0.15"/>
  <cols>
    <col min="1" max="1" width="100.625" customWidth="1"/>
  </cols>
  <sheetData>
    <row r="1" spans="1:1" x14ac:dyDescent="0.15">
      <c r="A1" s="11" t="s">
        <v>9</v>
      </c>
    </row>
    <row r="2" spans="1:1" x14ac:dyDescent="0.15">
      <c r="A2" t="str" cm="1">
        <f t="array" aca="1" ref="A2" ca="1">INDIRECT("'" &amp; (ROW(A1) ) &amp; "'!AH$16")</f>
        <v>{25,{0xFFAA64,0xFFAA64,0xFFAA64,0xFFAA64,0xFFAA64,0xFFAA64,0xFFAA64,0xFFAA64,0xFFAA64,0xFFAA64,0xFFAA64,0xFFAA64,0xFFAA64,0xFFAA64,0xFFAA64,0xFFAA64,0xFFAA64,0xFFAA64,0xFFAA64,0xFFAA64,0xFFAA64,0xFFAA64,0xFFAA64,0xFFAA64,0xFFAA64,0xFFAA64,0xFFAA64,0xFFAA64,}},</v>
      </c>
    </row>
    <row r="3" spans="1:1" x14ac:dyDescent="0.15">
      <c r="A3" t="str" cm="1">
        <f t="array" aca="1" ref="A3" ca="1">INDIRECT("'" &amp; (ROW(A2) ) &amp; "'!AH$16")</f>
        <v>{150,{0x000000,0x000000,0x000000,0x000000,0x000000,0x000000,0x000000,0x000000,0x000000,0x000000,0x000000,0x000000,0x000000,0x000000,0x000000,0x000000,0x000000,0x000000,0x000000,0x000000,0x000000,0x000000,0x000000,0x000000,0x000000,0x000000,0x000000,0x000000,}},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6" spans="1:1" x14ac:dyDescent="0.15">
      <c r="A6" s="11" t="s">
        <v>10</v>
      </c>
    </row>
    <row r="7" spans="1:1" x14ac:dyDescent="0.15">
      <c r="A7" t="str" cm="1">
        <f t="array" aca="1" ref="A7" ca="1">INDIRECT("'" &amp; (ROW(A1) ) &amp; "'!AH$33")</f>
        <v>{25,{0xFF0000,0xFF0000,0xFF0000,0xFF0000,0xFF0000,0xFF0000,0xFF0000,0xFF0000,0xFF0000,0xFF0000,0xFF0000,0xFF0000,0xFF0000,0xFF0000,0xFF0000,0xFF0000,0xFF0000,0xFF0000,0xFF0000,0xFF0000,0xFF0000,0xFF0000,0xFF0000,0xFF0000,0xFF0000,0xFF0000,0xFF0000,0xFF0000,}},</v>
      </c>
    </row>
    <row r="8" spans="1:1" x14ac:dyDescent="0.15">
      <c r="A8" t="str" cm="1">
        <f t="array" aca="1" ref="A8" ca="1">INDIRECT("'" &amp; (ROW(A2) ) &amp; "'!AH$33")</f>
        <v>{150,{0x000000,0x000000,0x000000,0x000000,0x000000,0x000000,0x000000,0x000000,0x000000,0x000000,0x000000,0x000000,0x000000,0x000000,0x000000,0x000000,0x000000,0x000000,0x000000,0x000000,0x000000,0x000000,0x000000,0x000000,0x000000,0x000000,0x000000,0x000000,}},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B38EE-51EA-4E08-B4FD-C6CDCCCC3724}">
  <sheetPr codeName="Sheet66"/>
  <dimension ref="A1:BK33"/>
  <sheetViews>
    <sheetView zoomScale="115" zoomScaleNormal="115" workbookViewId="0">
      <selection activeCell="B18" sqref="B18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25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255,170,100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25,{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0xFFAA64,0xFFAA64,0xFFAA64,0xFFAA64,0xFFAA64,0xFFAA64,0xFFAA64,0xFFAA64,0xFFAA64,0xFFAA64,0xFFAA64,0xFFAA64,0xFFAA64,0xFFAA64,0xFFAA64,0xFFAA64,0xFFAA64,0xFFAA64,0xFFAA64,0xFFAA64,0xFFAA64,0xFFAA64,0xFFAA64,0xFFAA64,0xFFAA64,0xFFAA64,0xFFAA64,0xFFAA64,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{25,{0xFFAA64,0xFFAA64,0xFFAA64,0xFFAA64,0xFFAA64,0xFFAA64,0xFFAA64,0xFFAA64,0xFFAA64,0xFFAA64,0xFFAA64,0xFFAA64,0xFFAA64,0xFFAA64,0xFFAA64,0xFFAA64,0xFFAA64,0xFFAA64,0xFFAA64,0xFFAA64,0xFFAA64,0xFFAA64,0xFFAA64,0xFFAA64,0xFFAA64,0xFFAA64,0xFFAA64,0xFFAA64,}},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"/>
      <c r="AG21" t="s">
        <v>4</v>
      </c>
      <c r="AH21" s="7" t="str">
        <f ca="1">getRGB(D21)</f>
        <v>255,0,0</v>
      </c>
      <c r="AI21" s="8" t="str">
        <f ca="1">getRGB(E21)</f>
        <v>255,0,0</v>
      </c>
      <c r="AJ21" s="8" t="str">
        <f t="shared" ref="AJ21:BI21" ca="1" si="2">getRGB(F21)</f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255,0,0</v>
      </c>
      <c r="AY21" s="8" t="str">
        <f t="shared" ca="1" si="2"/>
        <v>255,0,0</v>
      </c>
      <c r="AZ21" s="8" t="str">
        <f t="shared" ca="1" si="2"/>
        <v>255,0,0</v>
      </c>
      <c r="BA21" s="9" t="str">
        <f t="shared" ca="1" si="2"/>
        <v>255,0,0</v>
      </c>
      <c r="BB21" s="8" t="str">
        <f t="shared" ca="1" si="2"/>
        <v>255,0,0</v>
      </c>
      <c r="BC21" s="8" t="str">
        <f t="shared" ca="1" si="2"/>
        <v>255,0,0</v>
      </c>
      <c r="BD21" s="8" t="str">
        <f t="shared" ca="1" si="2"/>
        <v>255,0,0</v>
      </c>
      <c r="BE21" s="8" t="str">
        <f t="shared" ca="1" si="2"/>
        <v>255,0,0</v>
      </c>
      <c r="BF21" s="8" t="str">
        <f t="shared" ca="1" si="2"/>
        <v>255,0,0</v>
      </c>
      <c r="BG21" s="9" t="str">
        <f t="shared" ca="1" si="2"/>
        <v>255,0,0</v>
      </c>
      <c r="BH21" s="8" t="str">
        <f t="shared" ca="1" si="2"/>
        <v>255,0,0</v>
      </c>
      <c r="BI21" s="9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255,0,0,255,0,0,255,0,0,255,0,0,255,0,0,255,0,0,255,0,0,255,0,0,255,0,0,255,0,0,255,0,0,255,0,0,255,0,0,255,0,0,255,0,0,255,0,0,255,0,0,255,0,0,255,0,0,255,0,0,255,0,0,255,0,0,255,0,0,255,0,0,255,0,0,255,0,0,255,0,0,255,0,0,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255,0,0,255,0,0,255,0,0,255,0,0,255,0,0,255,0,0,255,0,0,255,0,0,255,0,0,255,0,0,255,0,0,255,0,0,255,0,0,255,0,0,255,0,0,255,0,0,255,0,0,255,0,0,255,0,0,255,0,0,255,0,0,255,0,0,255,0,0,255,0,0,255,0,0,255,0,0,255,0,0,255,0,0,</v>
      </c>
    </row>
    <row r="28" spans="1:63" x14ac:dyDescent="0.15">
      <c r="AH28" t="str">
        <f ca="1">"{"&amp;B19&amp;",{"&amp;AH27&amp;"}},"</f>
        <v>{,{255,0,0,255,0,0,255,0,0,255,0,0,255,0,0,255,0,0,255,0,0,255,0,0,255,0,0,255,0,0,255,0,0,255,0,0,255,0,0,255,0,0,255,0,0,255,0,0,255,0,0,255,0,0,255,0,0,255,0,0,255,0,0,255,0,0,255,0,0,255,0,0,255,0,0,255,0,0,255,0,0,255,0,0,}},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0xFF0000,0xFF0000,0xFF0000,0xFF0000,0xFF0000,0xFF0000,0xFF0000,0xFF0000,0xFF0000,0xFF0000,0xFF0000,0xFF0000,0xFF0000,0xFF0000,0xFF0000,0xFF0000,0xFF0000,0xFF0000,0xFF0000,0xFF0000,0xFF0000,0xFF0000,0xFF0000,0xFF0000,0xFF0000,0xFF0000,0xFF0000,0xFF0000,</v>
      </c>
    </row>
    <row r="33" spans="33:34" x14ac:dyDescent="0.15">
      <c r="AG33" t="s">
        <v>6</v>
      </c>
      <c r="AH33" t="str">
        <f ca="1">"{"&amp;B1&amp;",{"&amp;AH31&amp;"}},"</f>
        <v>{25,{0xFF0000,0xFF0000,0xFF0000,0xFF0000,0xFF0000,0xFF0000,0xFF0000,0xFF0000,0xFF0000,0xFF0000,0xFF0000,0xFF0000,0xFF0000,0xFF0000,0xFF0000,0xFF0000,0xFF0000,0xFF0000,0xFF0000,0xFF0000,0xFF0000,0xFF0000,0xFF0000,0xFF0000,0xFF0000,0xFF0000,0xFF0000,0xFF0000,}},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56012-5A82-41E5-8FCF-8E5990C5242D}">
  <sheetPr codeName="Sheet67"/>
  <dimension ref="A1:BK33"/>
  <sheetViews>
    <sheetView zoomScale="115" zoomScaleNormal="115" workbookViewId="0">
      <selection activeCell="B2" sqref="B2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150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{150,{0,0,0,0,0,0,0,0,0,0,0,0,0,0,0,0,0,0,0,0,0,0,0,0,0,0,0,0,0,0,0,0,0,0,0,0,0,0,0,0,0,0,0,0,0,0,0,0,0,0,0,0,0,0,0,0,0,0,0,0,0,0,0,0,0,0,0,0,0,0,0,0,0,0,0,0,0,0,0,0,0,0,0,0,}},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{150,{0x000000,0x000000,0x000000,0x000000,0x000000,0x000000,0x000000,0x000000,0x000000,0x000000,0x000000,0x000000,0x000000,0x000000,0x000000,0x000000,0x000000,0x000000,0x000000,0x000000,0x000000,0x000000,0x000000,0x000000,0x000000,0x000000,0x000000,0x000000,}},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0,0,0</v>
      </c>
      <c r="AI21" s="8" t="str">
        <f ca="1">getRGB(E21)</f>
        <v>0,0,0</v>
      </c>
      <c r="AJ21" s="8" t="str">
        <f t="shared" ref="AJ21:BI21" ca="1" si="2">getRGB(F21)</f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0,0,0,0,0,0,0,0,0,0,0,0,0,0,0,0,0,0,0,0,0,0,0,0,0,0,0,0,0,0,0,0,0,0,0,0,0,0,0,0,0,0,0,0,0,0,0,0,0,0,0,0,0,0,0,0,0,0,0,0,0,0,0,0,0,0,0,0,0,0,0,0,0,0,0,0,0,0,0,0,0,0,0,0,</v>
      </c>
    </row>
    <row r="28" spans="1:63" x14ac:dyDescent="0.15">
      <c r="AH28" t="str">
        <f ca="1">"{"&amp;B19&amp;",{"&amp;AH27&amp;"}},"</f>
        <v>{,{0,0,0,0,0,0,0,0,0,0,0,0,0,0,0,0,0,0,0,0,0,0,0,0,0,0,0,0,0,0,0,0,0,0,0,0,0,0,0,0,0,0,0,0,0,0,0,0,0,0,0,0,0,0,0,0,0,0,0,0,0,0,0,0,0,0,0,0,0,0,0,0,0,0,0,0,0,0,0,0,0,0,0,0,}},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{150,{0x000000,0x000000,0x000000,0x000000,0x000000,0x000000,0x000000,0x000000,0x000000,0x000000,0x000000,0x000000,0x000000,0x000000,0x000000,0x000000,0x000000,0x000000,0x000000,0x000000,0x000000,0x000000,0x000000,0x000000,0x000000,0x000000,0x000000,0x000000,}},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readme</vt:lpstr>
      <vt:lpstr>hardware layout</vt:lpstr>
      <vt:lpstr>firmware data</vt:lpstr>
      <vt:lpstr>1</vt:lpstr>
      <vt:lpstr>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zc k</cp:lastModifiedBy>
  <dcterms:created xsi:type="dcterms:W3CDTF">2006-09-13T11:21:51Z</dcterms:created>
  <dcterms:modified xsi:type="dcterms:W3CDTF">2024-09-29T09:57:08Z</dcterms:modified>
</cp:coreProperties>
</file>